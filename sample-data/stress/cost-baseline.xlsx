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 Cost FY2025" sheetId="1" state="visible" r:id="rId1"/>
    <sheet xmlns:r="http://schemas.openxmlformats.org/officeDocument/2006/relationships" name="3-Year Proje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Zephyr Logistics — Current-state annual run cost (FY2025 actuals, EUR)</t>
        </is>
      </c>
    </row>
    <row r="3">
      <c r="A3" t="inlineStr">
        <is>
          <t>Cost Category</t>
        </is>
      </c>
      <c r="B3" t="inlineStr">
        <is>
          <t>Annual (EUR)</t>
        </is>
      </c>
      <c r="C3" t="inlineStr">
        <is>
          <t>Monthly (EUR)</t>
        </is>
      </c>
      <c r="D3" t="inlineStr">
        <is>
          <t>% of Total</t>
        </is>
      </c>
    </row>
    <row r="4">
      <c r="A4" t="inlineStr">
        <is>
          <t>Compute (colocation, 2 sites)</t>
        </is>
      </c>
      <c r="B4" t="n">
        <v>410000</v>
      </c>
      <c r="C4">
        <f>B4/12</f>
        <v/>
      </c>
      <c r="D4">
        <f>B4/B13</f>
        <v/>
      </c>
    </row>
    <row r="5">
      <c r="A5" t="inlineStr">
        <is>
          <t>Storage (SAN + backup)</t>
        </is>
      </c>
      <c r="B5" t="n">
        <v>96000</v>
      </c>
      <c r="C5">
        <f>B5/12</f>
        <v/>
      </c>
      <c r="D5">
        <f>B5/B13</f>
        <v/>
      </c>
    </row>
    <row r="6">
      <c r="A6" t="inlineStr">
        <is>
          <t>Database licences &amp; support</t>
        </is>
      </c>
      <c r="B6" t="n">
        <v>58000</v>
      </c>
      <c r="C6">
        <f>B6/12</f>
        <v/>
      </c>
      <c r="D6">
        <f>B6/B13</f>
        <v/>
      </c>
    </row>
    <row r="7">
      <c r="A7" t="inlineStr">
        <is>
          <t>Middleware &amp; OS subscriptions</t>
        </is>
      </c>
      <c r="B7" t="n">
        <v>72000</v>
      </c>
      <c r="C7">
        <f>B7/12</f>
        <v/>
      </c>
      <c r="D7">
        <f>B7/B13</f>
        <v/>
      </c>
    </row>
    <row r="8">
      <c r="A8" t="inlineStr">
        <is>
          <t>Network &amp; CDN</t>
        </is>
      </c>
      <c r="B8" t="n">
        <v>64000</v>
      </c>
      <c r="C8">
        <f>B8/12</f>
        <v/>
      </c>
      <c r="D8">
        <f>B8/B13</f>
        <v/>
      </c>
    </row>
    <row r="9">
      <c r="A9" t="inlineStr">
        <is>
          <t>DR &amp; backup services</t>
        </is>
      </c>
      <c r="B9" t="n">
        <v>81000</v>
      </c>
      <c r="C9">
        <f>B9/12</f>
        <v/>
      </c>
      <c r="D9">
        <f>B9/B13</f>
        <v/>
      </c>
    </row>
    <row r="10">
      <c r="A10" t="inlineStr">
        <is>
          <t>Monitoring &amp; tooling</t>
        </is>
      </c>
      <c r="B10" t="n">
        <v>29000</v>
      </c>
      <c r="C10">
        <f>B10/12</f>
        <v/>
      </c>
      <c r="D10">
        <f>B10/B13</f>
        <v/>
      </c>
    </row>
    <row r="11">
      <c r="A11" t="inlineStr">
        <is>
          <t>Managed service provider (Northwind)</t>
        </is>
      </c>
      <c r="B11" t="n">
        <v>240000</v>
      </c>
      <c r="C11">
        <f>B11/12</f>
        <v/>
      </c>
      <c r="D11">
        <f>B11/B13</f>
        <v/>
      </c>
    </row>
    <row r="12">
      <c r="A12" t="inlineStr">
        <is>
          <t>Facilities &amp; power</t>
        </is>
      </c>
      <c r="B12" t="n">
        <v>88000</v>
      </c>
      <c r="C12">
        <f>B12/12</f>
        <v/>
      </c>
      <c r="D12">
        <f>B12/B13</f>
        <v/>
      </c>
    </row>
    <row r="13">
      <c r="A13" t="inlineStr">
        <is>
          <t>Total annual run cost</t>
        </is>
      </c>
      <c r="B13">
        <f>SUM(B4:B12)</f>
        <v/>
      </c>
      <c r="C13">
        <f>B13/12</f>
        <v/>
      </c>
      <c r="D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Assumption: 4% annual escalation (vendor indexation)</t>
        </is>
      </c>
    </row>
    <row r="2">
      <c r="A2" t="inlineStr">
        <is>
          <t>Year</t>
        </is>
      </c>
      <c r="B2" t="inlineStr">
        <is>
          <t>Run Cost (EUR)</t>
        </is>
      </c>
    </row>
    <row r="3">
      <c r="A3" t="inlineStr">
        <is>
          <t>Year 1</t>
        </is>
      </c>
      <c r="B3">
        <f>'Run Cost FY2025'!B13</f>
        <v/>
      </c>
    </row>
    <row r="4">
      <c r="A4" t="inlineStr">
        <is>
          <t>Year 2</t>
        </is>
      </c>
      <c r="B4">
        <f>B3*1.04</f>
        <v/>
      </c>
    </row>
    <row r="5">
      <c r="A5" t="inlineStr">
        <is>
          <t>Year 3</t>
        </is>
      </c>
      <c r="B5">
        <f>B4*1.04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2026-09-27T08:08:26Z</dcterms:created>
  <dcterms:modified xmlns:dcterms="http://purl.org/dc/terms/" xmlns:xsi="http://www.w3.org/2001/XMLSchema-instance" xsi:type="dcterms:W3CDTF">2026-09-27T08:08:26Z</dcterms:modified>
</cp:coreProperties>
</file>